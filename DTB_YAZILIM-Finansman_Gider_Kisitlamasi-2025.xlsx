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sman Gider Kısıtlamas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</font>
    <font>
      <b val="1"/>
    </font>
    <font>
      <i val="1"/>
      <color rgb="00555555"/>
      <sz val="9"/>
    </font>
    <font>
      <b val="1"/>
      <color rgb="009C5700"/>
    </font>
    <font>
      <b val="1"/>
      <sz val="12"/>
    </font>
    <font>
      <b val="1"/>
      <color rgb="00375623"/>
      <sz val="12"/>
    </font>
    <font>
      <color rgb="00C00000"/>
      <sz val="9"/>
    </font>
    <font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E6"/>
      </patternFill>
    </fill>
    <fill>
      <patternFill patternType="solid">
        <fgColor rgb="00E7E6E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4" fontId="6" fillId="3" borderId="1" applyAlignment="1" pivotButton="0" quotePrefix="0" xfId="0">
      <alignment horizontal="right"/>
    </xf>
    <xf numFmtId="0" fontId="5" fillId="0" borderId="1" pivotButton="0" quotePrefix="0" xfId="0"/>
    <xf numFmtId="4" fontId="0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0" fontId="7" fillId="0" borderId="1" pivotButton="0" quotePrefix="0" xfId="0"/>
    <xf numFmtId="4" fontId="8" fillId="5" borderId="1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hesap</author>
  </authors>
  <commentList>
    <comment ref="B5" authorId="0" shapeId="0">
      <text>
        <t>SARI = elle girilecek değer</t>
      </text>
    </comment>
    <comment ref="B6" authorId="0" shapeId="0">
      <text>
        <t>SARI = elle girilecek değer</t>
      </text>
    </comment>
    <comment ref="B9" authorId="0" shapeId="0">
      <text>
        <t>SARI = elle girilecek değer</t>
      </text>
    </comment>
    <comment ref="B10" authorId="0" shapeId="0">
      <text>
        <t>SARI = elle girilecek değer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52" customWidth="1" min="4" max="4"/>
  </cols>
  <sheetData>
    <row r="1" ht="26" customHeight="1">
      <c r="A1" s="1" t="inlineStr">
        <is>
          <t>FİNANSMAN GİDER KISITLAMASI HESAPLAMA</t>
        </is>
      </c>
    </row>
    <row r="2">
      <c r="A2" s="2" t="inlineStr">
        <is>
          <t>Firma: DTB YAZILIM SANAYİ VE TİC. AŞ.   |   Dönem: 2025   |   (%10 KKEG oranı, 7338 s.K. / KVK 11/1-i)</t>
        </is>
      </c>
    </row>
    <row r="4">
      <c r="A4" s="3" t="inlineStr">
        <is>
          <t>No</t>
        </is>
      </c>
      <c r="B4" s="3" t="inlineStr">
        <is>
          <t>Açıklama</t>
        </is>
      </c>
      <c r="C4" s="3" t="inlineStr">
        <is>
          <t>Tutar (₺)</t>
        </is>
      </c>
      <c r="D4" s="3" t="inlineStr">
        <is>
          <t>Formül / Kaynak</t>
        </is>
      </c>
    </row>
    <row r="5">
      <c r="A5" s="4" t="n">
        <v>1</v>
      </c>
      <c r="B5" s="5" t="inlineStr">
        <is>
          <t>Özsermaye tutarı</t>
        </is>
      </c>
      <c r="C5" s="6" t="n">
        <v>483282.74</v>
      </c>
      <c r="D5" s="7" t="inlineStr">
        <is>
          <t>Bilanço → III. Özkaynaklar (negatifse 0 alınır)</t>
        </is>
      </c>
    </row>
    <row r="6">
      <c r="A6" s="4" t="n">
        <v>2</v>
      </c>
      <c r="B6" s="5" t="inlineStr">
        <is>
          <t>Yabancı kaynak toplamı (Aktif − Özsermaye)</t>
        </is>
      </c>
      <c r="C6" s="6" t="n">
        <v>1463350.35</v>
      </c>
      <c r="D6" s="7" t="inlineStr">
        <is>
          <t>KVYK + UVYK toplamı</t>
        </is>
      </c>
    </row>
    <row r="7">
      <c r="A7" s="4" t="n">
        <v>3</v>
      </c>
      <c r="B7" s="5" t="inlineStr">
        <is>
          <t>Özsermayeyi aşan yabancı kaynak (2−1)</t>
        </is>
      </c>
      <c r="C7" s="8">
        <f>C6-C5</f>
        <v/>
      </c>
      <c r="D7" s="7">
        <f>C6-C5  →  yalnız pozitifse kısıtlama var</f>
        <v/>
      </c>
    </row>
    <row r="8">
      <c r="A8" s="4" t="n">
        <v>4</v>
      </c>
      <c r="B8" s="5" t="inlineStr">
        <is>
          <t>Aşan kısmın yabancı kaynağa oranı (3/2)</t>
        </is>
      </c>
      <c r="C8" s="9">
        <f>IF(C6=0,0,C7/C6)</f>
        <v/>
      </c>
      <c r="D8" s="7">
        <f>C7/C6</f>
        <v/>
      </c>
    </row>
    <row r="9">
      <c r="A9" s="4" t="n">
        <v>5</v>
      </c>
      <c r="B9" s="5" t="inlineStr">
        <is>
          <t>Finansman gider tutarı (780,660,656 vb.)</t>
        </is>
      </c>
      <c r="C9" s="6" t="n">
        <v>201535.28</v>
      </c>
      <c r="D9" s="7" t="inlineStr">
        <is>
          <t>SADECE kısıtlamaya tabi kısım (mevduat kur farkı hariç)</t>
        </is>
      </c>
    </row>
    <row r="10">
      <c r="A10" s="4" t="n">
        <v>6</v>
      </c>
      <c r="B10" s="5" t="inlineStr">
        <is>
          <t>Örtülü sermaye fin. gideri (KKEG) / aynı kaynaktan fin. geliri</t>
        </is>
      </c>
      <c r="C10" s="6" t="n">
        <v>0</v>
      </c>
      <c r="D10" s="7" t="inlineStr">
        <is>
          <t>KVKGT 11.13.8 — varsa 5ten düşülür</t>
        </is>
      </c>
    </row>
    <row r="11">
      <c r="A11" s="4" t="n">
        <v>7</v>
      </c>
      <c r="B11" s="5" t="inlineStr">
        <is>
          <t>Hesaplamada dikkate alınacak finansman gideri (5−6)</t>
        </is>
      </c>
      <c r="C11" s="8">
        <f>C9-C10</f>
        <v/>
      </c>
      <c r="D11" s="7">
        <f>C9-C10</f>
        <v/>
      </c>
    </row>
    <row r="12">
      <c r="A12" s="4" t="n">
        <v>8</v>
      </c>
      <c r="B12" s="5" t="inlineStr">
        <is>
          <t>Aşan kısma isabet eden finansman gideri (4×7)</t>
        </is>
      </c>
      <c r="C12" s="8">
        <f>C8*C11</f>
        <v/>
      </c>
      <c r="D12" s="7">
        <f>C8*C11</f>
        <v/>
      </c>
    </row>
    <row r="13">
      <c r="A13" s="4" t="n">
        <v>9</v>
      </c>
      <c r="B13" s="10" t="inlineStr">
        <is>
          <t>KKEG olacak finansman giderleri (8×%10)</t>
        </is>
      </c>
      <c r="C13" s="11">
        <f>C12*0.1</f>
        <v/>
      </c>
      <c r="D13" s="7">
        <f>C12*0.10</f>
        <v/>
      </c>
    </row>
    <row r="14">
      <c r="A14" s="12" t="inlineStr">
        <is>
          <t>★ SARI hücreler elle girilir (1,2,5,6). Diğerleri otomatik hesaplanır.</t>
        </is>
      </c>
    </row>
    <row r="15">
      <c r="A15" s="12" t="inlineStr">
        <is>
          <t>★ 1. satır özsermaye negatifse 0 yazılır; 3. satır ≤0 ise kısıtlama YAPILMAZ.</t>
        </is>
      </c>
    </row>
    <row r="16">
      <c r="A16" s="12" t="inlineStr">
        <is>
          <t>★ 5. satıra SADECE kısıtlamaya tabi finansman gideri yazılır:</t>
        </is>
      </c>
    </row>
    <row r="17">
      <c r="A17" s="13" t="inlineStr">
        <is>
          <t xml:space="preserve">     – Mevduat/alacak değerlemesinden doğan KUR FARKI kısıtlamaya tabi DEĞİL (hariç tut).</t>
        </is>
      </c>
    </row>
    <row r="18">
      <c r="A18" s="13" t="inlineStr">
        <is>
          <t xml:space="preserve">     – Maliyete/aktifleştirilen finansman gideri hariç tutulur.</t>
        </is>
      </c>
    </row>
    <row r="19">
      <c r="A19" s="12" t="inlineStr">
        <is>
          <t>★ KKEG (9. satır) beyannamede kanunen kabul edilmeyen gider olarak gösterilir; gelir tablosunda düzeltme yapılmaz.</t>
        </is>
      </c>
    </row>
  </sheetData>
  <mergeCells count="8">
    <mergeCell ref="A1:D1"/>
    <mergeCell ref="A17:D17"/>
    <mergeCell ref="A18:D18"/>
    <mergeCell ref="A15:D15"/>
    <mergeCell ref="A16:D16"/>
    <mergeCell ref="A2:D2"/>
    <mergeCell ref="A19:D19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2026-07-22T14:17:00Z</dcterms:created>
  <dcterms:modified xmlns:dcterms="http://purl.org/dc/terms/" xmlns:xsi="http://www.w3.org/2001/XMLSchema-instance" xsi:type="dcterms:W3CDTF">2026-07-22T14:17:00Z</dcterms:modified>
</cp:coreProperties>
</file>